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uark-my.sharepoint.com/personal/ezmo_uark_edu/Documents/7_MyWeb/emohellebi.github.io/coursework/courses/agst-50104/"/>
    </mc:Choice>
  </mc:AlternateContent>
  <xr:revisionPtr revIDLastSave="0" documentId="8_{D69E464A-000F-F84D-BA85-98ACDE7AF0B2}" xr6:coauthVersionLast="47" xr6:coauthVersionMax="47" xr10:uidLastSave="{00000000-0000-0000-0000-000000000000}"/>
  <bookViews>
    <workbookView xWindow="3660" yWindow="2740" windowWidth="27640" windowHeight="16680" xr2:uid="{46863F57-A6BE-F64A-9998-B70C4B2146F4}"/>
  </bookViews>
  <sheets>
    <sheet name="Syllabu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1" i="1" l="1"/>
  <c r="B31" i="1"/>
</calcChain>
</file>

<file path=xl/sharedStrings.xml><?xml version="1.0" encoding="utf-8"?>
<sst xmlns="http://schemas.openxmlformats.org/spreadsheetml/2006/main" count="113" uniqueCount="111">
  <si>
    <t>Course Objectives</t>
  </si>
  <si>
    <t>By the end of this course, students will be able to:</t>
  </si>
  <si>
    <t>Apply the fundamental principles of experimental design (replication, randomization, and blocking) to plan efficient and valid experiments in agricultural and biological research</t>
  </si>
  <si>
    <t>Identify appropriate experimental designs (CRD, RCBD, factorial, split-plot, incomplete block) based on experimental constraints, research questions, and sources of variability</t>
  </si>
  <si>
    <t>Formulate research hypotheses as testable statistical models with proper specification of fixed and random effects</t>
  </si>
  <si>
    <t>Conduct rigorous statistical analyses using ANOVA, linear mixed models, and generalized linear models with appropriate diagnostics and assumption checking</t>
  </si>
  <si>
    <t>Interpret statistical output critically, distinguishing between statistical significance and practical importance, and communicate results effectively to scientific audiences</t>
  </si>
  <si>
    <t>Recognize common pitfalls in experimental design and analysis (pseudoreplication, confounding, inappropriate error terms) and propose solutions</t>
  </si>
  <si>
    <t>Lab Objectives</t>
  </si>
  <si>
    <t>Through hands-on practice in lab sessions, students will:</t>
  </si>
  <si>
    <t>Develop basic proficiency in R programming using tidyverse workflows for data manipulation, visualization, and statistical analysis</t>
  </si>
  <si>
    <t>Generate randomized experimental designs using R packages and document design decisions</t>
  </si>
  <si>
    <t>Implement complete analysis workflows: exploratory data analysis → model fitting → diagnostics → inference → visualization of results</t>
  </si>
  <si>
    <t>Create reproducible reports and presentations using Quarto that integrate code, analysis, and interpretation</t>
  </si>
  <si>
    <t>Critique and troubleshoot analyses from real agricultural/biological experiments, identifying design flaws and suggesting improvements</t>
  </si>
  <si>
    <t>Computing:</t>
  </si>
  <si>
    <t>I will primarily use R output in lectures, homework, and exams. R scripts will be provided in class materials. Statistical software, such as JMP, SPSS, and MATLAB, can be used for homework and the project, but I will not be responsible for providing technical support for those.</t>
  </si>
  <si>
    <t>Course Structure and Grading Scale:</t>
  </si>
  <si>
    <t>%</t>
  </si>
  <si>
    <t>Assignments</t>
  </si>
  <si>
    <t>Points</t>
  </si>
  <si>
    <t>Grading Scale</t>
  </si>
  <si>
    <t>Component</t>
  </si>
  <si>
    <t>Weight</t>
  </si>
  <si>
    <t>Grading Basis</t>
  </si>
  <si>
    <t>Weekly Homework</t>
  </si>
  <si>
    <t>90-100%</t>
  </si>
  <si>
    <t>900-1000</t>
  </si>
  <si>
    <t>A</t>
  </si>
  <si>
    <t>----------&gt;</t>
  </si>
  <si>
    <t>Written Submission (Group)</t>
  </si>
  <si>
    <t>Quality, correctness, completeness, clarity of analysis and visualizations</t>
  </si>
  <si>
    <t>Exam I (end of Part I)</t>
  </si>
  <si>
    <t>80-89.9%</t>
  </si>
  <si>
    <t>800-899</t>
  </si>
  <si>
    <t>B</t>
  </si>
  <si>
    <t>Oral Presentation (Individual)</t>
  </si>
  <si>
    <t>Presenter’s clarity, correctness, and ability to explain the group’s work</t>
  </si>
  <si>
    <t>Exam II (end of Part II)</t>
  </si>
  <si>
    <t>70-79.9%</t>
  </si>
  <si>
    <t>700-779</t>
  </si>
  <si>
    <t>C</t>
  </si>
  <si>
    <t>Participation &amp; Contribution (Individual)</t>
  </si>
  <si>
    <t>Peer evaluation (group members)</t>
  </si>
  <si>
    <t>Final Exam (Comprehensive)</t>
  </si>
  <si>
    <t>60-69.9%</t>
  </si>
  <si>
    <t>600-699</t>
  </si>
  <si>
    <t>D</t>
  </si>
  <si>
    <t>Final Project</t>
  </si>
  <si>
    <t>0-59.9%</t>
  </si>
  <si>
    <t>0-599</t>
  </si>
  <si>
    <t>F</t>
  </si>
  <si>
    <t>Total Points</t>
  </si>
  <si>
    <t>Question!</t>
  </si>
  <si>
    <t>Homework:</t>
  </si>
  <si>
    <t>Team Structure:</t>
  </si>
  <si>
    <r>
      <t xml:space="preserve">Homework will be completed in </t>
    </r>
    <r>
      <rPr>
        <b/>
        <sz val="11"/>
        <color theme="1"/>
        <rFont val="Calibri"/>
        <family val="2"/>
        <scheme val="minor"/>
      </rPr>
      <t>groups of ~5 students</t>
    </r>
    <r>
      <rPr>
        <sz val="11"/>
        <color theme="1"/>
        <rFont val="Calibri"/>
        <family val="2"/>
        <scheme val="minor"/>
      </rPr>
      <t xml:space="preserve"> formed in Week 1. Group work together on all homework assignments and the final project throughout the semester. The instructor will create a Microsoft Teams chat for each group to facilitate communication and provide support.</t>
    </r>
  </si>
  <si>
    <t>Assignment Frequency:</t>
  </si>
  <si>
    <t>New homework assignments are posted (almost) every Friday via Teams. Follow in-class instructions for any exceptions.</t>
  </si>
  <si>
    <t>Two-Part Submission:</t>
  </si>
  <si>
    <t>Written Submission (Due Thursday 11:59 PM)</t>
  </si>
  <si>
    <t>All group members should submit the same file to Blackboard</t>
  </si>
  <si>
    <t>Quarto (you will learn this in Week 1) document (.qmd) + rendered PDF</t>
  </si>
  <si>
    <t>File naming: group#_hw#.qmd and group#_hw#.pdf (e.g., group1_hw3.pdf)</t>
  </si>
  <si>
    <t>Peer evaluation for all group members (see details below)</t>
  </si>
  <si>
    <t>Oral Presentation (Friday Lab)</t>
  </si>
  <si>
    <t>One group member is randomly selected to present</t>
  </si>
  <si>
    <t>Presenter explains one question (selected by the instructor) from the submitted homework</t>
  </si>
  <si>
    <t>Time limit: 5 minutes maximum</t>
  </si>
  <si>
    <t>Instructor projects the submitted PDF during presentation</t>
  </si>
  <si>
    <t>Grading Breakdown:</t>
  </si>
  <si>
    <t>Group Project:</t>
  </si>
  <si>
    <t>Incomplete Block Designs (BIBD, alpha designs)</t>
  </si>
  <si>
    <t>Criterion</t>
  </si>
  <si>
    <t>Excellent (90-100%)</t>
  </si>
  <si>
    <t>Good (80-89%)</t>
  </si>
  <si>
    <t>Satisfactory (70-79%)</t>
  </si>
  <si>
    <t>Needs Improvement (60-69%)</t>
  </si>
  <si>
    <t>Unsatisfactory (0-59%)</t>
  </si>
  <si>
    <t>Your project will be evaluated on the following 5 criteria. The video should demonstrate both mastery of your assigned experimental design topic and the ability to apply it to a real or simulated agricultural/biological research scenario.</t>
  </si>
  <si>
    <t>Topic Understanding &amp; Explanation</t>
  </si>
  <si>
    <t>Demonstrates deep understanding of topic; clearly explains statistical theory, design rationale, advantages/limitations, and proper model formulation with notation; excellent visual aids</t>
  </si>
  <si>
    <t>Shows solid understanding; explains concepts accurately with minor gaps; good visual aids and rationale</t>
  </si>
  <si>
    <t>Basic understanding evident; some gaps in depth; adequate visuals and explanation</t>
  </si>
  <si>
    <t>Multiple conceptual errors; limited explanation of design rationale or model; poor visuals</t>
  </si>
  <si>
    <t>Fundamental misunderstanding of topic; incorrect model or no explanation</t>
  </si>
  <si>
    <t>Exploratory Analysis</t>
  </si>
  <si>
    <t>Clear context, variables, design structure; high-quality plots; concise summaries highlighting patterns/issues</t>
  </si>
  <si>
    <t>Good description and visuals; identifies main patterns</t>
  </si>
  <si>
    <t>Basic description and plots; some missing details</t>
  </si>
  <si>
    <t>Vague description; basic plots; minimal analysis</t>
  </si>
  <si>
    <t>Missing description and EDA</t>
  </si>
  <si>
    <t>Statistical Analysis &amp; Diagnostics</t>
  </si>
  <si>
    <t>Correct model and code; thorough diagnostics (normality, variance, independence); clear ANOVA and estimates; sound interpretation</t>
  </si>
  <si>
    <t>Mostly correct model/code; good diagnostics; clear results</t>
  </si>
  <si>
    <t>Model/code with minor errors; basic diagnostics; limited interpretation</t>
  </si>
  <si>
    <t>Significant model/code errors; limited diagnostics; unclear results</t>
  </si>
  <si>
    <t>Incorrect or missing model/code/diagnostics</t>
  </si>
  <si>
    <t>Conclusions &amp; Recommendations</t>
  </si>
  <si>
    <t>Insightful interpretation (statistical vs practical); appropriate post-hoc; strengths/limitations; actionable recommendations</t>
  </si>
  <si>
    <t>Good interpretation and post-hoc; solid evaluation; good recommendations</t>
  </si>
  <si>
    <t>Basic interpretation and post-hoc; limited evaluation; basic recommendations</t>
  </si>
  <si>
    <t>Superficial interpretation; limited/weak post-hoc; vague recommendations</t>
  </si>
  <si>
    <t>Missing interpretation, post-hoc, or recommendations</t>
  </si>
  <si>
    <t>Presentation Quality</t>
  </si>
  <si>
    <t>Clear flow; professional; 9–11 min; all members participate; readable code</t>
  </si>
  <si>
    <t>Good organization; good pacing; full participation; readable code</t>
  </si>
  <si>
    <t>Mostly clear; acceptable pacing; adequate participation; adequate code</t>
  </si>
  <si>
    <t>Unclear; poor pacing; limited participation; poor code readability</t>
  </si>
  <si>
    <t>Disorganized; wrong length; minimal participation; unreadable</t>
  </si>
  <si>
    <t>TOTAL: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</si>
</sst>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D2235"/>
        <bgColor indexed="64"/>
      </patternFill>
    </fill>
    <fill>
      <patternFill patternType="solid">
        <fgColor rgb="FFF9F9F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 style="dashed">
        <color auto="1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Dot">
        <color auto="1"/>
      </right>
      <top style="medium">
        <color auto="1"/>
      </top>
      <bottom style="dashed">
        <color auto="1"/>
      </bottom>
      <diagonal/>
    </border>
    <border>
      <left style="dashDot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Dot">
        <color auto="1"/>
      </right>
      <top style="dashed">
        <color auto="1"/>
      </top>
      <bottom style="dashed">
        <color auto="1"/>
      </bottom>
      <diagonal/>
    </border>
    <border>
      <left style="dashDot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dashDot">
        <color auto="1"/>
      </right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 style="dashDot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9" fontId="0" fillId="2" borderId="4" xfId="1" applyFont="1" applyFill="1" applyBorder="1" applyAlignment="1">
      <alignment horizontal="right" vertical="center" wrapText="1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6" xfId="0" applyFill="1" applyBorder="1" applyAlignment="1">
      <alignment horizontal="right" vertical="center" wrapText="1"/>
    </xf>
    <xf numFmtId="9" fontId="0" fillId="2" borderId="8" xfId="1" applyFont="1" applyFill="1" applyBorder="1" applyAlignment="1">
      <alignment horizontal="left" vertical="center" wrapText="1"/>
    </xf>
    <xf numFmtId="0" fontId="0" fillId="2" borderId="6" xfId="1" applyNumberFormat="1" applyFont="1" applyFill="1" applyBorder="1" applyAlignment="1">
      <alignment horizontal="right" vertical="center" wrapText="1"/>
    </xf>
    <xf numFmtId="9" fontId="0" fillId="2" borderId="9" xfId="1" applyFont="1" applyFill="1" applyBorder="1" applyAlignment="1">
      <alignment horizontal="left" vertical="center" wrapText="1"/>
    </xf>
    <xf numFmtId="0" fontId="2" fillId="2" borderId="0" xfId="0" quotePrefix="1" applyFont="1" applyFill="1"/>
    <xf numFmtId="0" fontId="0" fillId="2" borderId="4" xfId="0" applyFill="1" applyBorder="1" applyAlignment="1">
      <alignment vertical="center"/>
    </xf>
    <xf numFmtId="9" fontId="0" fillId="2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9" fontId="0" fillId="0" borderId="10" xfId="1" applyFont="1" applyBorder="1" applyAlignment="1">
      <alignment horizontal="righ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right" vertical="center" wrapText="1"/>
    </xf>
    <xf numFmtId="9" fontId="0" fillId="0" borderId="14" xfId="1" applyFont="1" applyBorder="1" applyAlignment="1">
      <alignment horizontal="left" vertical="center" wrapText="1"/>
    </xf>
    <xf numFmtId="0" fontId="0" fillId="0" borderId="12" xfId="1" applyNumberFormat="1" applyFont="1" applyBorder="1" applyAlignment="1">
      <alignment horizontal="right" vertical="center" wrapText="1"/>
    </xf>
    <xf numFmtId="9" fontId="0" fillId="0" borderId="15" xfId="1" applyFont="1" applyBorder="1" applyAlignment="1">
      <alignment horizontal="left" vertical="center" wrapText="1"/>
    </xf>
    <xf numFmtId="0" fontId="0" fillId="2" borderId="10" xfId="0" applyFill="1" applyBorder="1" applyAlignment="1">
      <alignment vertical="center"/>
    </xf>
    <xf numFmtId="9" fontId="0" fillId="2" borderId="10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9" fontId="0" fillId="2" borderId="16" xfId="0" applyNumberFormat="1" applyFill="1" applyBorder="1" applyAlignment="1">
      <alignment horizontal="center" vertical="center"/>
    </xf>
    <xf numFmtId="9" fontId="0" fillId="0" borderId="17" xfId="1" applyFont="1" applyBorder="1" applyAlignment="1">
      <alignment horizontal="right" vertical="center" wrapText="1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9" xfId="0" applyBorder="1" applyAlignment="1">
      <alignment horizontal="right" vertical="center" wrapText="1"/>
    </xf>
    <xf numFmtId="9" fontId="0" fillId="0" borderId="21" xfId="1" applyFont="1" applyBorder="1" applyAlignment="1">
      <alignment horizontal="left" vertical="center" wrapText="1"/>
    </xf>
    <xf numFmtId="0" fontId="0" fillId="0" borderId="22" xfId="1" applyNumberFormat="1" applyFont="1" applyBorder="1" applyAlignment="1">
      <alignment horizontal="right" vertical="center" wrapText="1"/>
    </xf>
    <xf numFmtId="9" fontId="0" fillId="0" borderId="23" xfId="1" applyFont="1" applyBorder="1" applyAlignment="1">
      <alignment horizontal="left" vertical="center" wrapText="1"/>
    </xf>
    <xf numFmtId="9" fontId="2" fillId="0" borderId="1" xfId="1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5" fillId="3" borderId="0" xfId="2" applyFont="1" applyFill="1"/>
    <xf numFmtId="0" fontId="6" fillId="4" borderId="26" xfId="0" applyFont="1" applyFill="1" applyBorder="1" applyAlignment="1">
      <alignment horizontal="left" vertical="top" wrapText="1"/>
    </xf>
    <xf numFmtId="0" fontId="6" fillId="4" borderId="26" xfId="0" applyFont="1" applyFill="1" applyBorder="1" applyAlignment="1">
      <alignment horizontal="center" vertical="top" wrapText="1"/>
    </xf>
    <xf numFmtId="0" fontId="7" fillId="0" borderId="26" xfId="0" applyFont="1" applyBorder="1" applyAlignment="1">
      <alignment horizontal="left" vertical="top" wrapText="1"/>
    </xf>
    <xf numFmtId="0" fontId="8" fillId="0" borderId="26" xfId="0" applyFont="1" applyBorder="1" applyAlignment="1">
      <alignment horizontal="center" vertical="top" wrapText="1"/>
    </xf>
    <xf numFmtId="0" fontId="8" fillId="0" borderId="26" xfId="0" applyFont="1" applyBorder="1" applyAlignment="1">
      <alignment horizontal="left" vertical="top" wrapText="1"/>
    </xf>
    <xf numFmtId="0" fontId="7" fillId="5" borderId="26" xfId="0" applyFont="1" applyFill="1" applyBorder="1" applyAlignment="1">
      <alignment horizontal="left" vertical="top" wrapText="1"/>
    </xf>
    <xf numFmtId="0" fontId="8" fillId="5" borderId="26" xfId="0" applyFont="1" applyFill="1" applyBorder="1" applyAlignment="1">
      <alignment horizontal="center" vertical="top" wrapText="1"/>
    </xf>
    <xf numFmtId="0" fontId="8" fillId="5" borderId="26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7" fillId="5" borderId="26" xfId="0" applyFont="1" applyFill="1" applyBorder="1" applyAlignment="1">
      <alignment horizontal="center" vertical="top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4B6D8-F8A0-9A47-8EE5-0DE2B8D4056D}">
  <dimension ref="A4:S71"/>
  <sheetViews>
    <sheetView tabSelected="1" zoomScale="70" zoomScaleNormal="70" workbookViewId="0">
      <selection activeCell="J33" sqref="J33"/>
    </sheetView>
  </sheetViews>
  <sheetFormatPr baseColWidth="10" defaultColWidth="8.83203125" defaultRowHeight="15" x14ac:dyDescent="0.2"/>
  <cols>
    <col min="2" max="2" width="5.5" bestFit="1" customWidth="1"/>
    <col min="12" max="12" width="34.83203125" bestFit="1" customWidth="1"/>
    <col min="13" max="13" width="9.83203125" customWidth="1"/>
    <col min="14" max="14" width="98.1640625" customWidth="1"/>
    <col min="15" max="15" width="56" customWidth="1"/>
    <col min="16" max="16" width="59.1640625" customWidth="1"/>
    <col min="17" max="17" width="55.83203125" customWidth="1"/>
    <col min="18" max="18" width="47.1640625" customWidth="1"/>
    <col min="19" max="19" width="26.83203125" customWidth="1"/>
  </cols>
  <sheetData>
    <row r="4" spans="1:3" x14ac:dyDescent="0.2">
      <c r="A4" s="1" t="s">
        <v>0</v>
      </c>
    </row>
    <row r="5" spans="1:3" x14ac:dyDescent="0.2">
      <c r="A5" s="2"/>
      <c r="B5" t="s">
        <v>1</v>
      </c>
    </row>
    <row r="6" spans="1:3" x14ac:dyDescent="0.2">
      <c r="B6">
        <v>1</v>
      </c>
      <c r="C6" t="s">
        <v>2</v>
      </c>
    </row>
    <row r="7" spans="1:3" x14ac:dyDescent="0.2">
      <c r="B7">
        <v>2</v>
      </c>
      <c r="C7" t="s">
        <v>3</v>
      </c>
    </row>
    <row r="8" spans="1:3" x14ac:dyDescent="0.2">
      <c r="B8">
        <v>3</v>
      </c>
      <c r="C8" t="s">
        <v>4</v>
      </c>
    </row>
    <row r="9" spans="1:3" x14ac:dyDescent="0.2">
      <c r="B9">
        <v>4</v>
      </c>
      <c r="C9" t="s">
        <v>5</v>
      </c>
    </row>
    <row r="10" spans="1:3" x14ac:dyDescent="0.2">
      <c r="B10">
        <v>5</v>
      </c>
      <c r="C10" t="s">
        <v>6</v>
      </c>
    </row>
    <row r="11" spans="1:3" x14ac:dyDescent="0.2">
      <c r="B11">
        <v>6</v>
      </c>
      <c r="C11" t="s">
        <v>7</v>
      </c>
    </row>
    <row r="13" spans="1:3" x14ac:dyDescent="0.2">
      <c r="A13" s="1" t="s">
        <v>8</v>
      </c>
    </row>
    <row r="14" spans="1:3" x14ac:dyDescent="0.2">
      <c r="B14" t="s">
        <v>9</v>
      </c>
    </row>
    <row r="15" spans="1:3" x14ac:dyDescent="0.2">
      <c r="B15">
        <v>1</v>
      </c>
      <c r="C15" t="s">
        <v>10</v>
      </c>
    </row>
    <row r="16" spans="1:3" x14ac:dyDescent="0.2">
      <c r="B16">
        <v>2</v>
      </c>
      <c r="C16" t="s">
        <v>11</v>
      </c>
    </row>
    <row r="17" spans="1:19" x14ac:dyDescent="0.2">
      <c r="B17">
        <v>3</v>
      </c>
      <c r="C17" t="s">
        <v>12</v>
      </c>
    </row>
    <row r="18" spans="1:19" x14ac:dyDescent="0.2">
      <c r="B18">
        <v>4</v>
      </c>
      <c r="C18" t="s">
        <v>13</v>
      </c>
    </row>
    <row r="19" spans="1:19" x14ac:dyDescent="0.2">
      <c r="B19">
        <v>5</v>
      </c>
      <c r="C19" t="s">
        <v>14</v>
      </c>
    </row>
    <row r="21" spans="1:19" x14ac:dyDescent="0.2">
      <c r="A21" s="1" t="s">
        <v>15</v>
      </c>
    </row>
    <row r="22" spans="1:19" ht="28.25" customHeight="1" x14ac:dyDescent="0.2">
      <c r="B22" s="3" t="s">
        <v>16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4" spans="1:19" ht="16" thickBot="1" x14ac:dyDescent="0.25">
      <c r="A24" s="1" t="s">
        <v>17</v>
      </c>
    </row>
    <row r="25" spans="1:19" ht="17" thickBot="1" x14ac:dyDescent="0.25">
      <c r="B25" s="4" t="s">
        <v>18</v>
      </c>
      <c r="C25" s="5" t="s">
        <v>19</v>
      </c>
      <c r="D25" s="5"/>
      <c r="E25" s="5"/>
      <c r="F25" s="5"/>
      <c r="G25" s="6" t="s">
        <v>20</v>
      </c>
      <c r="H25" s="7" t="s">
        <v>21</v>
      </c>
      <c r="I25" s="7"/>
      <c r="J25" s="7"/>
      <c r="L25" s="8" t="s">
        <v>22</v>
      </c>
      <c r="M25" s="8" t="s">
        <v>23</v>
      </c>
      <c r="N25" s="9" t="s">
        <v>24</v>
      </c>
    </row>
    <row r="26" spans="1:19" ht="16" x14ac:dyDescent="0.2">
      <c r="B26" s="10">
        <v>0.3</v>
      </c>
      <c r="C26" s="11" t="s">
        <v>25</v>
      </c>
      <c r="D26" s="12"/>
      <c r="E26" s="12"/>
      <c r="F26" s="13"/>
      <c r="G26" s="14">
        <v>300</v>
      </c>
      <c r="H26" s="15" t="s">
        <v>26</v>
      </c>
      <c r="I26" s="16" t="s">
        <v>27</v>
      </c>
      <c r="J26" s="17" t="s">
        <v>28</v>
      </c>
      <c r="K26" s="18" t="s">
        <v>29</v>
      </c>
      <c r="L26" s="19" t="s">
        <v>30</v>
      </c>
      <c r="M26" s="20">
        <v>0.6</v>
      </c>
      <c r="N26" s="21" t="s">
        <v>31</v>
      </c>
    </row>
    <row r="27" spans="1:19" ht="16" x14ac:dyDescent="0.2">
      <c r="B27" s="22">
        <v>0.15</v>
      </c>
      <c r="C27" s="23" t="s">
        <v>32</v>
      </c>
      <c r="D27" s="24"/>
      <c r="E27" s="24"/>
      <c r="F27" s="25"/>
      <c r="G27" s="26">
        <v>150</v>
      </c>
      <c r="H27" s="27" t="s">
        <v>33</v>
      </c>
      <c r="I27" s="28" t="s">
        <v>34</v>
      </c>
      <c r="J27" s="29" t="s">
        <v>35</v>
      </c>
      <c r="L27" s="30" t="s">
        <v>36</v>
      </c>
      <c r="M27" s="31">
        <v>0.2</v>
      </c>
      <c r="N27" s="32" t="s">
        <v>37</v>
      </c>
    </row>
    <row r="28" spans="1:19" ht="17" thickBot="1" x14ac:dyDescent="0.25">
      <c r="B28" s="22">
        <v>0.15</v>
      </c>
      <c r="C28" s="23" t="s">
        <v>38</v>
      </c>
      <c r="D28" s="24"/>
      <c r="E28" s="24"/>
      <c r="F28" s="25"/>
      <c r="G28" s="26">
        <v>150</v>
      </c>
      <c r="H28" s="27" t="s">
        <v>39</v>
      </c>
      <c r="I28" s="28" t="s">
        <v>40</v>
      </c>
      <c r="J28" s="29" t="s">
        <v>41</v>
      </c>
      <c r="L28" s="33" t="s">
        <v>42</v>
      </c>
      <c r="M28" s="34">
        <v>0.2</v>
      </c>
      <c r="N28" s="33" t="s">
        <v>43</v>
      </c>
    </row>
    <row r="29" spans="1:19" ht="16" x14ac:dyDescent="0.2">
      <c r="B29" s="22">
        <v>0.2</v>
      </c>
      <c r="C29" s="23" t="s">
        <v>44</v>
      </c>
      <c r="D29" s="24"/>
      <c r="E29" s="24"/>
      <c r="F29" s="25"/>
      <c r="G29" s="26">
        <v>200</v>
      </c>
      <c r="H29" s="27" t="s">
        <v>45</v>
      </c>
      <c r="I29" s="28" t="s">
        <v>46</v>
      </c>
      <c r="J29" s="29" t="s">
        <v>47</v>
      </c>
    </row>
    <row r="30" spans="1:19" ht="17" thickBot="1" x14ac:dyDescent="0.25">
      <c r="B30" s="35">
        <v>0.2</v>
      </c>
      <c r="C30" s="36" t="s">
        <v>48</v>
      </c>
      <c r="D30" s="37"/>
      <c r="E30" s="37"/>
      <c r="F30" s="38"/>
      <c r="G30" s="39">
        <v>200</v>
      </c>
      <c r="H30" s="40" t="s">
        <v>49</v>
      </c>
      <c r="I30" s="41" t="s">
        <v>50</v>
      </c>
      <c r="J30" s="42" t="s">
        <v>51</v>
      </c>
    </row>
    <row r="31" spans="1:19" ht="16" thickBot="1" x14ac:dyDescent="0.25">
      <c r="B31" s="43">
        <f>SUM(B26:B30)</f>
        <v>1</v>
      </c>
      <c r="C31" s="44" t="s">
        <v>52</v>
      </c>
      <c r="D31" s="45"/>
      <c r="E31" s="45"/>
      <c r="F31" s="46"/>
      <c r="G31" s="47">
        <f>SUM(G26:G30)</f>
        <v>1000</v>
      </c>
      <c r="H31" s="48" t="s">
        <v>53</v>
      </c>
    </row>
    <row r="33" spans="1:19" x14ac:dyDescent="0.2">
      <c r="A33" s="1" t="s">
        <v>54</v>
      </c>
    </row>
    <row r="34" spans="1:19" x14ac:dyDescent="0.2">
      <c r="B34" s="1" t="s">
        <v>55</v>
      </c>
    </row>
    <row r="35" spans="1:19" ht="29.5" customHeight="1" x14ac:dyDescent="0.2">
      <c r="C35" s="3" t="s">
        <v>56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7" spans="1:19" x14ac:dyDescent="0.2">
      <c r="B37" s="1" t="s">
        <v>57</v>
      </c>
    </row>
    <row r="38" spans="1:19" x14ac:dyDescent="0.2">
      <c r="C38" t="s">
        <v>58</v>
      </c>
    </row>
    <row r="40" spans="1:19" x14ac:dyDescent="0.2">
      <c r="B40" s="1" t="s">
        <v>59</v>
      </c>
    </row>
    <row r="41" spans="1:19" x14ac:dyDescent="0.2">
      <c r="B41">
        <v>1</v>
      </c>
      <c r="C41" t="s">
        <v>60</v>
      </c>
    </row>
    <row r="42" spans="1:19" x14ac:dyDescent="0.2">
      <c r="D42" t="s">
        <v>61</v>
      </c>
    </row>
    <row r="43" spans="1:19" x14ac:dyDescent="0.2">
      <c r="D43" t="s">
        <v>62</v>
      </c>
    </row>
    <row r="44" spans="1:19" x14ac:dyDescent="0.2">
      <c r="D44" t="s">
        <v>63</v>
      </c>
    </row>
    <row r="45" spans="1:19" x14ac:dyDescent="0.2">
      <c r="D45" t="s">
        <v>64</v>
      </c>
    </row>
    <row r="47" spans="1:19" x14ac:dyDescent="0.2">
      <c r="B47">
        <v>2</v>
      </c>
      <c r="C47" t="s">
        <v>65</v>
      </c>
    </row>
    <row r="48" spans="1:19" x14ac:dyDescent="0.2">
      <c r="D48" t="s">
        <v>66</v>
      </c>
    </row>
    <row r="49" spans="2:5" x14ac:dyDescent="0.2">
      <c r="D49" t="s">
        <v>67</v>
      </c>
    </row>
    <row r="50" spans="2:5" x14ac:dyDescent="0.2">
      <c r="D50" t="s">
        <v>68</v>
      </c>
    </row>
    <row r="51" spans="2:5" x14ac:dyDescent="0.2">
      <c r="D51" t="s">
        <v>69</v>
      </c>
    </row>
    <row r="53" spans="2:5" x14ac:dyDescent="0.2">
      <c r="B53" s="1" t="s">
        <v>70</v>
      </c>
    </row>
    <row r="54" spans="2:5" x14ac:dyDescent="0.2">
      <c r="D54" t="s">
        <v>22</v>
      </c>
    </row>
    <row r="64" spans="2:5" ht="16" thickBot="1" x14ac:dyDescent="0.25">
      <c r="B64" s="1" t="s">
        <v>71</v>
      </c>
      <c r="E64" t="s">
        <v>72</v>
      </c>
    </row>
    <row r="65" spans="4:18" ht="16" thickBot="1" x14ac:dyDescent="0.25">
      <c r="L65" s="49" t="s">
        <v>73</v>
      </c>
      <c r="M65" s="50" t="s">
        <v>20</v>
      </c>
      <c r="N65" s="49" t="s">
        <v>74</v>
      </c>
      <c r="O65" s="49" t="s">
        <v>75</v>
      </c>
      <c r="P65" s="49" t="s">
        <v>76</v>
      </c>
      <c r="Q65" s="49" t="s">
        <v>77</v>
      </c>
      <c r="R65" s="49" t="s">
        <v>78</v>
      </c>
    </row>
    <row r="66" spans="4:18" ht="29.5" customHeight="1" thickBot="1" x14ac:dyDescent="0.25">
      <c r="D66" s="3" t="s">
        <v>79</v>
      </c>
      <c r="E66" s="3"/>
      <c r="F66" s="3"/>
      <c r="G66" s="3"/>
      <c r="H66" s="3"/>
      <c r="I66" s="3"/>
      <c r="J66" s="3"/>
      <c r="L66" s="51" t="s">
        <v>80</v>
      </c>
      <c r="M66" s="52">
        <v>50</v>
      </c>
      <c r="N66" s="53" t="s">
        <v>81</v>
      </c>
      <c r="O66" s="53" t="s">
        <v>82</v>
      </c>
      <c r="P66" s="53" t="s">
        <v>83</v>
      </c>
      <c r="Q66" s="53" t="s">
        <v>84</v>
      </c>
      <c r="R66" s="53" t="s">
        <v>85</v>
      </c>
    </row>
    <row r="67" spans="4:18" ht="16" thickBot="1" x14ac:dyDescent="0.25">
      <c r="D67" s="3"/>
      <c r="E67" s="3"/>
      <c r="F67" s="3"/>
      <c r="G67" s="3"/>
      <c r="H67" s="3"/>
      <c r="I67" s="3"/>
      <c r="J67" s="3"/>
      <c r="L67" s="54" t="s">
        <v>86</v>
      </c>
      <c r="M67" s="55">
        <v>30</v>
      </c>
      <c r="N67" s="56" t="s">
        <v>87</v>
      </c>
      <c r="O67" s="56" t="s">
        <v>88</v>
      </c>
      <c r="P67" s="56" t="s">
        <v>89</v>
      </c>
      <c r="Q67" s="56" t="s">
        <v>90</v>
      </c>
      <c r="R67" s="56" t="s">
        <v>91</v>
      </c>
    </row>
    <row r="68" spans="4:18" ht="16" thickBot="1" x14ac:dyDescent="0.25">
      <c r="D68" s="3"/>
      <c r="E68" s="3"/>
      <c r="F68" s="3"/>
      <c r="G68" s="3"/>
      <c r="H68" s="3"/>
      <c r="I68" s="3"/>
      <c r="J68" s="3"/>
      <c r="L68" s="51" t="s">
        <v>92</v>
      </c>
      <c r="M68" s="52">
        <v>50</v>
      </c>
      <c r="N68" s="53" t="s">
        <v>93</v>
      </c>
      <c r="O68" s="53" t="s">
        <v>94</v>
      </c>
      <c r="P68" s="53" t="s">
        <v>95</v>
      </c>
      <c r="Q68" s="53" t="s">
        <v>96</v>
      </c>
      <c r="R68" s="53" t="s">
        <v>97</v>
      </c>
    </row>
    <row r="69" spans="4:18" ht="16" thickBot="1" x14ac:dyDescent="0.25">
      <c r="D69" s="57"/>
      <c r="E69" s="57"/>
      <c r="F69" s="57"/>
      <c r="G69" s="57"/>
      <c r="H69" s="57"/>
      <c r="I69" s="57"/>
      <c r="J69" s="57"/>
      <c r="L69" s="54" t="s">
        <v>98</v>
      </c>
      <c r="M69" s="55">
        <v>40</v>
      </c>
      <c r="N69" s="56" t="s">
        <v>99</v>
      </c>
      <c r="O69" s="56" t="s">
        <v>100</v>
      </c>
      <c r="P69" s="56" t="s">
        <v>101</v>
      </c>
      <c r="Q69" s="56" t="s">
        <v>102</v>
      </c>
      <c r="R69" s="56" t="s">
        <v>103</v>
      </c>
    </row>
    <row r="70" spans="4:18" ht="16" thickBot="1" x14ac:dyDescent="0.25">
      <c r="D70" s="57"/>
      <c r="E70" s="57"/>
      <c r="F70" s="57"/>
      <c r="G70" s="57"/>
      <c r="H70" s="57"/>
      <c r="I70" s="57"/>
      <c r="J70" s="57"/>
      <c r="L70" s="51" t="s">
        <v>104</v>
      </c>
      <c r="M70" s="52">
        <v>30</v>
      </c>
      <c r="N70" s="53" t="s">
        <v>105</v>
      </c>
      <c r="O70" s="53" t="s">
        <v>106</v>
      </c>
      <c r="P70" s="53" t="s">
        <v>107</v>
      </c>
      <c r="Q70" s="53" t="s">
        <v>108</v>
      </c>
      <c r="R70" s="53" t="s">
        <v>109</v>
      </c>
    </row>
    <row r="71" spans="4:18" ht="16" thickBot="1" x14ac:dyDescent="0.25">
      <c r="D71" s="57"/>
      <c r="E71" s="57"/>
      <c r="F71" s="57"/>
      <c r="G71" s="57"/>
      <c r="H71" s="57"/>
      <c r="I71" s="57"/>
      <c r="J71" s="57"/>
      <c r="L71" s="56"/>
      <c r="M71" s="58" t="s">
        <v>110</v>
      </c>
      <c r="N71" s="56"/>
      <c r="O71" s="56"/>
      <c r="P71" s="56"/>
      <c r="Q71" s="56"/>
      <c r="R71" s="56"/>
    </row>
  </sheetData>
  <mergeCells count="11">
    <mergeCell ref="C29:F29"/>
    <mergeCell ref="C30:F30"/>
    <mergeCell ref="C31:F31"/>
    <mergeCell ref="C35:S35"/>
    <mergeCell ref="D66:J68"/>
    <mergeCell ref="B22:S22"/>
    <mergeCell ref="C25:F25"/>
    <mergeCell ref="H25:J25"/>
    <mergeCell ref="C26:F26"/>
    <mergeCell ref="C27:F27"/>
    <mergeCell ref="C28:F28"/>
  </mergeCells>
  <hyperlinks>
    <hyperlink ref="H31" location="Tasks!D4" display="Question!" xr:uid="{59D6F8BD-5B20-8946-B116-92E9EAA1E9C0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Zakaria Mohellebi</dc:creator>
  <cp:lastModifiedBy>Elias Zakaria Mohellebi</cp:lastModifiedBy>
  <dcterms:created xsi:type="dcterms:W3CDTF">2026-09-09T06:12:14Z</dcterms:created>
  <dcterms:modified xsi:type="dcterms:W3CDTF">2026-09-09T06:12:31Z</dcterms:modified>
</cp:coreProperties>
</file>